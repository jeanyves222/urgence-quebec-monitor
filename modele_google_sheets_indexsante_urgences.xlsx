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bleau_de_bord" sheetId="2" state="visible" r:id="rId2"/>
    <sheet xmlns:r="http://schemas.openxmlformats.org/officeDocument/2006/relationships" name="releves_global_quebec" sheetId="3" state="visible" r:id="rId3"/>
    <sheet xmlns:r="http://schemas.openxmlformats.org/officeDocument/2006/relationships" name="releves_regions" sheetId="4" state="visible" r:id="rId4"/>
    <sheet xmlns:r="http://schemas.openxmlformats.org/officeDocument/2006/relationships" name="releves_installations" sheetId="5" state="visible" r:id="rId5"/>
    <sheet xmlns:r="http://schemas.openxmlformats.org/officeDocument/2006/relationships" name="anomalies_bs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Projet</t>
        </is>
      </c>
      <c r="B1" s="2" t="inlineStr">
        <is>
          <t>Suivi automatisé des urgences du Québec via Index Santé → Google Sheets</t>
        </is>
      </c>
    </row>
    <row r="2">
      <c r="A2" s="3" t="inlineStr">
        <is>
          <t>Fuseau cible</t>
        </is>
      </c>
      <c r="B2" s="4" t="inlineStr">
        <is>
          <t>America/Montreal</t>
        </is>
      </c>
    </row>
    <row r="3">
      <c r="A3" s="3" t="inlineStr">
        <is>
          <t>Heures locales visées</t>
        </is>
      </c>
      <c r="B3" s="4" t="inlineStr">
        <is>
          <t>08:00, 16:00, 22:00</t>
        </is>
      </c>
    </row>
    <row r="4">
      <c r="A4" s="3" t="inlineStr">
        <is>
          <t>Important</t>
        </is>
      </c>
      <c r="B4" s="4" t="inlineStr">
        <is>
          <t>GitHub Actions planifie en UTC. Le workflow tourne chaque heure et le script décide s'il doit écrire selon l'heure locale de Montréal.</t>
        </is>
      </c>
    </row>
    <row r="5">
      <c r="A5" s="3" t="inlineStr">
        <is>
          <t>Secrets GitHub requis</t>
        </is>
      </c>
      <c r="B5" s="4" t="inlineStr">
        <is>
          <t>GCP_SERVICE_ACCOUNT_JSON ; GOOGLE_SHEET_ID</t>
        </is>
      </c>
    </row>
    <row r="6">
      <c r="A6" s="3" t="inlineStr">
        <is>
          <t>Étapes</t>
        </is>
      </c>
      <c r="B6" s="4" t="inlineStr">
        <is>
          <t>1) Créer un Google Sheet vide  2) Partager le Sheet avec le courriel du compte de service  3) Ajouter les secrets GitHub  4) Pousser le dépôt  5) Tester avec workflow_dispatch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6" customWidth="1" min="4" max="4"/>
    <col width="16" customWidth="1" min="5" max="5"/>
    <col width="24" customWidth="1" min="6" max="6"/>
    <col width="18" customWidth="1" min="7" max="7"/>
    <col width="28" customWidth="1" min="8" max="8"/>
  </cols>
  <sheetData>
    <row r="1">
      <c r="A1" s="5" t="inlineStr">
        <is>
          <t>Tableau de bord — urgences Index Santé</t>
        </is>
      </c>
    </row>
    <row r="2">
      <c r="A2" t="inlineStr">
        <is>
          <t>Ce tableau est alimenté par les feuilles de relevés ajoutées automatiquement par le script.</t>
        </is>
      </c>
    </row>
    <row r="4">
      <c r="A4" s="5" t="inlineStr">
        <is>
          <t>Indicateurs de contrôle</t>
        </is>
      </c>
      <c r="F4" s="5" t="inlineStr">
        <is>
          <t>Bas-Saint-Laurent — dernier relevé</t>
        </is>
      </c>
    </row>
    <row r="5">
      <c r="A5" s="6" t="inlineStr">
        <is>
          <t>Dernière mise à jour globale</t>
        </is>
      </c>
      <c r="B5">
        <f>IFERROR(LOOKUP(2,1/(releves_global_quebec!A:A&lt;&gt;""),releves_global_quebec!D:D),"")</f>
        <v/>
      </c>
      <c r="F5" s="6" t="inlineStr">
        <is>
          <t>Taux régional</t>
        </is>
      </c>
      <c r="G5">
        <f>IFERROR(LOOKUP(2,1/((releves_regions!B:B="Bas-Saint-Laurent")*(releves_regions!A:A&lt;&gt;"")),releves_regions!D:D),"")</f>
        <v/>
      </c>
    </row>
    <row r="6">
      <c r="A6" s="6" t="inlineStr">
        <is>
          <t>Taux d'occupation Québec</t>
        </is>
      </c>
      <c r="B6">
        <f>IFERROR(LOOKUP(2,1/(releves_global_quebec!A:A&lt;&gt;""),releves_global_quebec!K:K),"")</f>
        <v/>
      </c>
      <c r="F6" s="6" t="inlineStr">
        <is>
          <t>Installations relevées</t>
        </is>
      </c>
      <c r="G6">
        <f>COUNTIF(releves_installations!B:B,"Bas-Saint-Laurent")</f>
        <v/>
      </c>
    </row>
    <row r="7">
      <c r="A7" s="6" t="inlineStr">
        <is>
          <t>Nombre total Québec</t>
        </is>
      </c>
      <c r="B7">
        <f>IFERROR(LOOKUP(2,1/(releves_global_quebec!A:A&lt;&gt;""),releves_global_quebec!E:E),"")</f>
        <v/>
      </c>
      <c r="F7" s="6" t="inlineStr">
        <is>
          <t>Pire taux installation</t>
        </is>
      </c>
      <c r="G7">
        <f>IFERROR(MAXIFS(releves_installations!I:I,releves_installations!B:B,"Bas-Saint-Laurent"),"")</f>
        <v/>
      </c>
    </row>
    <row r="8">
      <c r="A8" s="6" t="inlineStr">
        <is>
          <t>Patients &gt;48h Québec</t>
        </is>
      </c>
      <c r="B8">
        <f>IFERROR(LOOKUP(2,1/(releves_global_quebec!A:A&lt;&gt;""),releves_global_quebec!M:M),"")</f>
        <v/>
      </c>
      <c r="F8" s="6" t="inlineStr">
        <is>
          <t>Nom installation</t>
        </is>
      </c>
      <c r="G8">
        <f>IFERROR(INDEX(releves_installations!C:C,MATCH(G7,releves_installations!I:I,0)),"")</f>
        <v/>
      </c>
    </row>
  </sheetData>
  <mergeCells count="4">
    <mergeCell ref="A4:D4"/>
    <mergeCell ref="A2:H2"/>
    <mergeCell ref="F4:H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  <col width="24" customWidth="1" min="4" max="4"/>
    <col width="2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</cols>
  <sheetData>
    <row r="1">
      <c r="A1" s="5" t="inlineStr">
        <is>
          <t>horodatage_utc</t>
        </is>
      </c>
      <c r="B1" s="5" t="inlineStr">
        <is>
          <t>date_locale</t>
        </is>
      </c>
      <c r="C1" s="5" t="inlineStr">
        <is>
          <t>heure_locale</t>
        </is>
      </c>
      <c r="D1" s="5" t="inlineStr">
        <is>
          <t>derniere_mise_a_jour_site</t>
        </is>
      </c>
      <c r="E1" s="5" t="inlineStr">
        <is>
          <t>nb_total_urgence</t>
        </is>
      </c>
      <c r="F1" s="5" t="inlineStr">
        <is>
          <t>nb_attente_medecin</t>
        </is>
      </c>
      <c r="G1" s="5" t="inlineStr">
        <is>
          <t>duree_salle_attente</t>
        </is>
      </c>
      <c r="H1" s="5" t="inlineStr">
        <is>
          <t>duree_attente_civiere</t>
        </is>
      </c>
      <c r="I1" s="5" t="inlineStr">
        <is>
          <t>civieres_fonctionnelles</t>
        </is>
      </c>
      <c r="J1" s="5" t="inlineStr">
        <is>
          <t>civieres_occupees</t>
        </is>
      </c>
      <c r="K1" s="5" t="inlineStr">
        <is>
          <t>taux_occupation</t>
        </is>
      </c>
      <c r="L1" s="5" t="inlineStr">
        <is>
          <t>patients_plus_24h</t>
        </is>
      </c>
      <c r="M1" s="5" t="inlineStr">
        <is>
          <t>patients_plus_48h</t>
        </is>
      </c>
      <c r="N1" s="5" t="inlineStr">
        <is>
          <t>source_url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14" customWidth="1" min="4" max="4"/>
    <col width="30" customWidth="1" min="5" max="5"/>
  </cols>
  <sheetData>
    <row r="1">
      <c r="A1" s="5" t="inlineStr">
        <is>
          <t>horodatage_utc</t>
        </is>
      </c>
      <c r="B1" s="5" t="inlineStr">
        <is>
          <t>region</t>
        </is>
      </c>
      <c r="C1" s="5" t="inlineStr">
        <is>
          <t>date_locale</t>
        </is>
      </c>
      <c r="D1" s="5" t="inlineStr">
        <is>
          <t>taux_region</t>
        </is>
      </c>
      <c r="E1" s="5" t="inlineStr">
        <is>
          <t>source_url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8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5" t="inlineStr">
        <is>
          <t>horodatage_utc</t>
        </is>
      </c>
      <c r="B1" s="5" t="inlineStr">
        <is>
          <t>region</t>
        </is>
      </c>
      <c r="C1" s="5" t="inlineStr">
        <is>
          <t>installation</t>
        </is>
      </c>
      <c r="D1" s="5" t="inlineStr">
        <is>
          <t>date_locale</t>
        </is>
      </c>
      <c r="E1" s="5" t="inlineStr">
        <is>
          <t>nb_total_urgence</t>
        </is>
      </c>
      <c r="F1" s="5" t="inlineStr">
        <is>
          <t>nb_attente_medecin</t>
        </is>
      </c>
      <c r="G1" s="5" t="inlineStr">
        <is>
          <t>civieres_fonctionnelles</t>
        </is>
      </c>
      <c r="H1" s="5" t="inlineStr">
        <is>
          <t>civieres_occupees</t>
        </is>
      </c>
      <c r="I1" s="5" t="inlineStr">
        <is>
          <t>taux_occupation</t>
        </is>
      </c>
      <c r="J1" s="5" t="inlineStr">
        <is>
          <t>patients_plus_24h</t>
        </is>
      </c>
      <c r="K1" s="5" t="inlineStr">
        <is>
          <t>patients_plus_48h</t>
        </is>
      </c>
      <c r="L1" s="5" t="inlineStr">
        <is>
          <t>source_url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6" customWidth="1" min="4" max="4"/>
    <col width="16" customWidth="1" min="5" max="5"/>
    <col width="12" customWidth="1" min="6" max="6"/>
    <col width="10" customWidth="1" min="7" max="7"/>
    <col width="30" customWidth="1" min="8" max="8"/>
  </cols>
  <sheetData>
    <row r="1">
      <c r="A1" s="5" t="inlineStr">
        <is>
          <t>horodatage_utc</t>
        </is>
      </c>
      <c r="B1" s="5" t="inlineStr">
        <is>
          <t>installation</t>
        </is>
      </c>
      <c r="C1" s="5" t="inlineStr">
        <is>
          <t>taux_occupation</t>
        </is>
      </c>
      <c r="D1" s="5" t="inlineStr">
        <is>
          <t>moyenne_session</t>
        </is>
      </c>
      <c r="E1" s="5" t="inlineStr">
        <is>
          <t>ecart_type_session</t>
        </is>
      </c>
      <c r="F1" s="5" t="inlineStr">
        <is>
          <t>z_score</t>
        </is>
      </c>
      <c r="G1" s="5" t="inlineStr">
        <is>
          <t>niveau</t>
        </is>
      </c>
      <c r="H1" s="5" t="inlineStr">
        <is>
          <t>source_url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2026-03-25T13:55:52Z</dcterms:created>
  <dcterms:modified xmlns:dcterms="http://purl.org/dc/terms/" xmlns:xsi="http://www.w3.org/2001/XMLSchema-instance" xsi:type="dcterms:W3CDTF">2026-03-25T13:55:52Z</dcterms:modified>
</cp:coreProperties>
</file>